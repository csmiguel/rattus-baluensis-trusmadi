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tub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<sst xmlns="http://schemas.openxmlformats.org/spreadsheetml/2006/main" count="22" uniqueCount="18">
  <si>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DEPTH_AMPLICON</t>
  </si>
  <si>
    <t>DEPTH_ALLELES</t>
  </si>
  <si>
    <t>COUNT_ALLELES</t>
  </si>
  <si>
    <t>SEQUENCE</t>
  </si>
  <si>
    <t>MD5</t>
  </si>
  <si>
    <t>LENGTH</t>
  </si>
  <si>
    <t>DEPTH</t>
  </si>
  <si>
    <t>SAMPLES</t>
  </si>
  <si>
    <t>MEAN_FREQ</t>
  </si>
  <si>
    <t>MAX_FREQ</t>
  </si>
  <si>
    <t>MIN_FREQ</t>
  </si>
  <si>
    <t>BOR1069</t>
  </si>
  <si>
    <t>BOR1107</t>
  </si>
  <si>
    <t>BOR1151</t>
  </si>
  <si>
    <t>BOR1155</t>
  </si>
  <si>
    <t>TATGATGGGGTTGGAGAAACACCACATCCCACATGAAACACTTCCAGGACAACTAGACCAATAGCACCGTCCCGGGAGAGCCTAAGCTCATGTGTGTGCTACATGTTCTTCTAGACTCCTGAAACCTGGACGTGGTGACAGAGTAGGCTCACCCTTGTCATCACTCCTGTGGACAGCAAGAACGACATAGCACACCTGCTGCTGATGGCAGAGTATTGTGTTCCCAGACCGGAAAGTACCTATTGACCTGTTGACAAGTAGTCCTAAGTTGCCACCCCTAGGCTAGTCCCTGCAGCCTGTCCAAATGCTGCCCCAAAATCCGTCACTTGCCTGGCGGTGAACCCGAGCATCATGCACTCTGTTGAGGGTCAACATGTAGCCATCCTTTTGGACT</t>
  </si>
  <si>
    <t>9eeda653126f51fd4603562ab9b6ea07</t>
  </si>
  <si>
    <t>fetub-1355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</si>
</sst>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9" max="9" width="9.140625" style="1"/>
  </cols>
  <sheetData>
    <row r="1" spans="1:13">
      <c r="I1" s="1" t="s">
        <v>0</v>
      </c>
      <c r="J1">
        <v>273</v>
      </c>
      <c r="K1">
        <v>307</v>
      </c>
      <c r="L1">
        <v>236</v>
      </c>
      <c r="M1">
        <v>193</v>
      </c>
    </row>
    <row r="2" spans="1:13">
      <c r="I2" s="1" t="s">
        <v>1</v>
      </c>
      <c r="J2">
        <f>SUM(J5:J5)</f>
        <v>197</v>
      </c>
      <c r="K2">
        <f>SUM(K5:K5)</f>
        <v>225</v>
      </c>
      <c r="L2">
        <f>SUM(L5:L5)</f>
        <v>176</v>
      </c>
      <c r="M2">
        <f>SUM(M5:M5)</f>
        <v>155</v>
      </c>
    </row>
    <row r="3" spans="1:13">
      <c r="I3" s="1" t="s">
        <v>2</v>
      </c>
      <c r="J3">
        <f>COUNT(J5:J5)</f>
        <v>1</v>
      </c>
      <c r="K3">
        <f>COUNT(K5:K5)</f>
        <v>1</v>
      </c>
      <c r="L3">
        <f>COUNT(L5:L5)</f>
        <v>1</v>
      </c>
      <c r="M3">
        <f>COUNT(M5:M5)</f>
        <v>1</v>
      </c>
    </row>
    <row r="4" spans="1:13" s="1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>
      <c r="A5" t="s">
        <v>15</v>
      </c>
      <c r="B5" t="s">
        <v>16</v>
      </c>
      <c r="C5">
        <v>394</v>
      </c>
      <c r="D5">
        <f>SUM(J5:M5)</f>
        <v>753</v>
      </c>
      <c r="E5">
        <f>COUNT(J5:M5)</f>
        <v>4</v>
      </c>
      <c r="F5">
        <v>75.08</v>
      </c>
      <c r="G5">
        <v>80.31</v>
      </c>
      <c r="H5">
        <v>72.16</v>
      </c>
      <c r="I5" s="1" t="s">
        <v>17</v>
      </c>
      <c r="J5">
        <f>193+4</f>
        <v>197</v>
      </c>
      <c r="K5">
        <f>225+0</f>
        <v>225</v>
      </c>
      <c r="L5">
        <f>176+0</f>
        <v>176</v>
      </c>
      <c r="M5">
        <f>148+7</f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fetub</vt:lpstr>
    </vt:vector>
  </TitlesOfParts>
  <Company>SixthResearcher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AmpliSAT results</dc:title>
  <dc:creator>Alvaro Sebastian</dc:creator>
  <dc:description>AmpliSAT results</dc:description>
  <cp:lastModifiedBy>Alvaro Sebastian</cp:lastModifiedBy>
  <dcterms:created xsi:type="dcterms:W3CDTF">2021-04-26T07:44:03Z</dcterms:created>
  <dcterms:modified xsi:type="dcterms:W3CDTF">2021-04-26T07:44:03Z</dcterms:modified>
</cp:coreProperties>
</file>